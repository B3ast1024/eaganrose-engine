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"/>
    <numFmt numFmtId="166" formatCode="0000"/>
    <numFmt numFmtId="167" formatCode="_(&quot;$&quot;* #,##0.00_);_(&quot;$&quot;* (#,##0.00);_(&quot;$&quot;* &quot;-&quot;??_);_(@_)"/>
    <numFmt numFmtId="168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1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Date</t>
        </is>
      </c>
      <c r="B1" s="1" t="inlineStr">
        <is>
          <t>Vendor</t>
        </is>
      </c>
      <c r="C1" s="1" t="inlineStr">
        <is>
          <t>Region</t>
        </is>
      </c>
      <c r="D1" s="1" t="inlineStr">
        <is>
          <t>Purchase Order #</t>
        </is>
      </c>
      <c r="E1" s="1" t="inlineStr"/>
      <c r="F1" s="1" t="inlineStr"/>
      <c r="G1" s="1" t="inlineStr"/>
      <c r="H1" s="1" t="inlineStr">
        <is>
          <t>Costco Item #</t>
        </is>
      </c>
      <c r="I1" s="1" t="inlineStr">
        <is>
          <t>Item Description</t>
        </is>
      </c>
      <c r="J1" s="1" t="inlineStr">
        <is>
          <t>Cancel Date</t>
        </is>
      </c>
      <c r="K1" s="1" t="inlineStr">
        <is>
          <t xml:space="preserve"> PO Del Date</t>
        </is>
      </c>
      <c r="L1" s="1" t="inlineStr">
        <is>
          <t>Qty</t>
        </is>
      </c>
      <c r="M1" s="1" t="inlineStr">
        <is>
          <t>Unit Cost</t>
        </is>
      </c>
      <c r="N1" s="1" t="inlineStr">
        <is>
          <t>Spoils</t>
        </is>
      </c>
      <c r="O1" s="1" t="inlineStr">
        <is>
          <t>Freight Allowance</t>
        </is>
      </c>
      <c r="P1" s="1" t="inlineStr">
        <is>
          <t>Demo Accrual Deduction</t>
        </is>
      </c>
      <c r="Q1" s="1" t="inlineStr">
        <is>
          <t>Net Inv Amt</t>
        </is>
      </c>
      <c r="R1" s="1" t="inlineStr">
        <is>
          <t>Com   %   Rate</t>
        </is>
      </c>
      <c r="S1" s="1" t="inlineStr">
        <is>
          <t>Total Comision Earned</t>
        </is>
      </c>
      <c r="T1" s="1" t="inlineStr">
        <is>
          <t>Est'd  Month   Pay'd</t>
        </is>
      </c>
      <c r="U1" s="1" t="inlineStr">
        <is>
          <t>Date Comm  Paid</t>
        </is>
      </c>
      <c r="V1" s="1" t="inlineStr">
        <is>
          <t>Ck #</t>
        </is>
      </c>
      <c r="W1" s="1" t="inlineStr">
        <is>
          <t>Total Comision Paid</t>
        </is>
      </c>
      <c r="X1" s="1" t="inlineStr">
        <is>
          <t>Commission Paid Difference from Commission Earned</t>
        </is>
      </c>
      <c r="Y1" s="1" t="inlineStr">
        <is>
          <t>Comments</t>
        </is>
      </c>
    </row>
    <row r="2">
      <c r="A2" s="2" t="n">
        <v>46170</v>
      </c>
      <c r="B2" s="3" t="inlineStr">
        <is>
          <t>DAESANG</t>
        </is>
      </c>
      <c r="C2" s="3" t="inlineStr">
        <is>
          <t>LA</t>
        </is>
      </c>
      <c r="D2" s="4" t="inlineStr">
        <is>
          <t>961</t>
        </is>
      </c>
      <c r="E2" s="5" t="inlineStr">
        <is>
          <t>0528</t>
        </is>
      </c>
      <c r="F2" s="6" t="inlineStr">
        <is>
          <t>521</t>
        </is>
      </c>
      <c r="G2" s="3" t="inlineStr"/>
      <c r="H2" s="3" t="inlineStr">
        <is>
          <t>1990882</t>
        </is>
      </c>
      <c r="I2" s="6" t="inlineStr">
        <is>
          <t>Jongga Water Radish 1.4Kg T10H8 C6</t>
        </is>
      </c>
      <c r="J2" s="2" t="n">
        <v>46188</v>
      </c>
      <c r="K2" s="2" t="n">
        <v>46188</v>
      </c>
      <c r="L2" s="7" t="n">
        <v>720</v>
      </c>
      <c r="M2" s="8" t="n">
        <v>45.22</v>
      </c>
      <c r="N2" s="9" t="n">
        <v>0.0075</v>
      </c>
      <c r="O2" s="10" t="n">
        <v>0</v>
      </c>
      <c r="P2" s="10" t="n">
        <v>1627.92</v>
      </c>
      <c r="Q2" s="11" t="n">
        <v>30686.292</v>
      </c>
      <c r="R2" s="9" t="n">
        <v>0.05</v>
      </c>
      <c r="S2" s="11">
        <f>Q2*R2</f>
        <v/>
      </c>
      <c r="T2" s="12" t="n">
        <v>46204</v>
      </c>
      <c r="U2" s="3" t="n"/>
      <c r="V2" s="3" t="n"/>
      <c r="W2" s="8" t="n"/>
      <c r="X2" s="13">
        <f>W2-S2</f>
        <v/>
      </c>
      <c r="Y2" s="3" t="inlineStr"/>
    </row>
    <row r="3">
      <c r="A3" s="2" t="n">
        <v>46171</v>
      </c>
      <c r="B3" s="3" t="inlineStr">
        <is>
          <t>DAESANG</t>
        </is>
      </c>
      <c r="C3" s="3" t="inlineStr">
        <is>
          <t>BD</t>
        </is>
      </c>
      <c r="D3" s="4" t="inlineStr">
        <is>
          <t>260</t>
        </is>
      </c>
      <c r="E3" s="5" t="inlineStr">
        <is>
          <t>0529</t>
        </is>
      </c>
      <c r="F3" s="6" t="inlineStr">
        <is>
          <t>137</t>
        </is>
      </c>
      <c r="G3" s="3" t="inlineStr"/>
      <c r="H3" s="3" t="inlineStr">
        <is>
          <t>1570571</t>
        </is>
      </c>
      <c r="I3" s="6" t="inlineStr">
        <is>
          <t>Jongga Slice Kimchi 2.5Kg 88Oz T12H5</t>
        </is>
      </c>
      <c r="J3" s="2" t="n">
        <v>46185</v>
      </c>
      <c r="K3" s="2" t="n">
        <v>46185</v>
      </c>
      <c r="L3" s="7" t="n">
        <v>60</v>
      </c>
      <c r="M3" s="8" t="n">
        <v>45.92</v>
      </c>
      <c r="N3" s="9" t="n">
        <v>0.0075</v>
      </c>
      <c r="O3" s="10" t="n">
        <v>0</v>
      </c>
      <c r="P3" s="10" t="n">
        <v>0</v>
      </c>
      <c r="Q3" s="11" t="n">
        <v>2734.536</v>
      </c>
      <c r="R3" s="9" t="n">
        <v>0.03</v>
      </c>
      <c r="S3" s="11">
        <f>Q3*R3</f>
        <v/>
      </c>
      <c r="T3" s="12" t="n">
        <v>46204</v>
      </c>
      <c r="U3" s="3" t="n"/>
      <c r="V3" s="3" t="n"/>
      <c r="W3" s="8" t="n"/>
      <c r="X3" s="13">
        <f>W3-S3</f>
        <v/>
      </c>
      <c r="Y3" s="3" t="inlineStr"/>
    </row>
    <row r="4">
      <c r="A4" s="2" t="n">
        <v>46171</v>
      </c>
      <c r="B4" s="3" t="inlineStr">
        <is>
          <t>DAESANG</t>
        </is>
      </c>
      <c r="C4" s="3" t="inlineStr">
        <is>
          <t>BA</t>
        </is>
      </c>
      <c r="D4" s="4" t="inlineStr">
        <is>
          <t>172</t>
        </is>
      </c>
      <c r="E4" s="5" t="inlineStr">
        <is>
          <t>0529</t>
        </is>
      </c>
      <c r="F4" s="6" t="inlineStr">
        <is>
          <t>305</t>
        </is>
      </c>
      <c r="G4" s="3" t="inlineStr"/>
      <c r="H4" s="3" t="inlineStr">
        <is>
          <t>1793017</t>
        </is>
      </c>
      <c r="I4" s="6" t="inlineStr">
        <is>
          <t>Jongga Mat Kimchi 1.5Kg 10T8H C6</t>
        </is>
      </c>
      <c r="J4" s="2" t="n">
        <v>46189</v>
      </c>
      <c r="K4" s="2" t="n">
        <v>46189</v>
      </c>
      <c r="L4" s="7" t="n">
        <v>1680</v>
      </c>
      <c r="M4" s="8" t="n">
        <v>42.52</v>
      </c>
      <c r="N4" s="9" t="n">
        <v>0.0075</v>
      </c>
      <c r="O4" s="10" t="n">
        <v>0</v>
      </c>
      <c r="P4" s="10" t="n">
        <v>5000.35</v>
      </c>
      <c r="Q4" s="11" t="n">
        <v>65897.49800000001</v>
      </c>
      <c r="R4" s="9" t="n">
        <v>0.03</v>
      </c>
      <c r="S4" s="11">
        <f>Q4*R4</f>
        <v/>
      </c>
      <c r="T4" s="12" t="n">
        <v>46204</v>
      </c>
      <c r="U4" s="3" t="n"/>
      <c r="V4" s="3" t="n"/>
      <c r="W4" s="8" t="n"/>
      <c r="X4" s="13">
        <f>W4-S4</f>
        <v/>
      </c>
      <c r="Y4" s="3" t="inlineStr"/>
    </row>
    <row r="5">
      <c r="A5" s="2" t="n">
        <v>46174</v>
      </c>
      <c r="B5" s="3" t="inlineStr">
        <is>
          <t>DAESANG</t>
        </is>
      </c>
      <c r="C5" s="3" t="inlineStr">
        <is>
          <t>SE</t>
        </is>
      </c>
      <c r="D5" s="4" t="inlineStr">
        <is>
          <t>263</t>
        </is>
      </c>
      <c r="E5" s="5" t="inlineStr">
        <is>
          <t>0601</t>
        </is>
      </c>
      <c r="F5" s="6" t="inlineStr">
        <is>
          <t>102</t>
        </is>
      </c>
      <c r="G5" s="3" t="inlineStr"/>
      <c r="H5" s="3" t="inlineStr">
        <is>
          <t>1793017</t>
        </is>
      </c>
      <c r="I5" s="6" t="inlineStr">
        <is>
          <t>Jongga Mat Kimchi 1.5Kg 10T8H C6</t>
        </is>
      </c>
      <c r="J5" s="2" t="n">
        <v>46188</v>
      </c>
      <c r="K5" s="2" t="n">
        <v>46188</v>
      </c>
      <c r="L5" s="7" t="n">
        <v>1040</v>
      </c>
      <c r="M5" s="8" t="n">
        <v>47.86</v>
      </c>
      <c r="N5" s="9" t="n">
        <v>0.0075</v>
      </c>
      <c r="O5" s="10" t="n">
        <v>0</v>
      </c>
      <c r="P5" s="10" t="n">
        <v>4160</v>
      </c>
      <c r="Q5" s="11" t="n">
        <v>45241.092</v>
      </c>
      <c r="R5" s="9" t="n">
        <v>0.03</v>
      </c>
      <c r="S5" s="11">
        <f>Q5*R5</f>
        <v/>
      </c>
      <c r="T5" s="12" t="n">
        <v>46204</v>
      </c>
      <c r="U5" s="3" t="n"/>
      <c r="V5" s="3" t="n"/>
      <c r="W5" s="8" t="n"/>
      <c r="X5" s="13">
        <f>W5-S5</f>
        <v/>
      </c>
      <c r="Y5" s="3" t="inlineStr"/>
    </row>
    <row r="6">
      <c r="A6" s="2" t="n">
        <v>46198</v>
      </c>
      <c r="B6" s="3" t="inlineStr">
        <is>
          <t>DAESANG</t>
        </is>
      </c>
      <c r="C6" s="3" t="inlineStr">
        <is>
          <t>0</t>
        </is>
      </c>
      <c r="D6" s="4" t="inlineStr">
        <is>
          <t>265</t>
        </is>
      </c>
      <c r="E6" s="5" t="inlineStr">
        <is>
          <t>0625</t>
        </is>
      </c>
      <c r="F6" s="6" t="inlineStr">
        <is>
          <t>233</t>
        </is>
      </c>
      <c r="G6" s="3" t="inlineStr"/>
      <c r="H6" s="3" t="inlineStr">
        <is>
          <t>1793017</t>
        </is>
      </c>
      <c r="I6" s="6" t="inlineStr">
        <is>
          <t>Jongga Mat Kimchi 1.5Kg 10T8H C6</t>
        </is>
      </c>
      <c r="J6" s="2" t="n">
        <v>46253</v>
      </c>
      <c r="K6" s="2" t="n">
        <v>46253</v>
      </c>
      <c r="L6" s="7" t="n">
        <v>1520</v>
      </c>
      <c r="M6" s="8" t="n">
        <v>49.66</v>
      </c>
      <c r="N6" s="9" t="n">
        <v>0.0075</v>
      </c>
      <c r="O6" s="10" t="n">
        <v>0</v>
      </c>
      <c r="P6" s="10" t="n">
        <v>7548.32</v>
      </c>
      <c r="Q6" s="11" t="n">
        <v>67368.75600000001</v>
      </c>
      <c r="R6" s="9" t="n">
        <v>0.03</v>
      </c>
      <c r="S6" s="11">
        <f>Q6*R6</f>
        <v/>
      </c>
      <c r="T6" s="12" t="n">
        <v>46266</v>
      </c>
      <c r="U6" s="3" t="n"/>
      <c r="V6" s="3" t="n"/>
      <c r="W6" s="8" t="n"/>
      <c r="X6" s="13">
        <f>W6-S6</f>
        <v/>
      </c>
      <c r="Y6" s="3" t="inlineStr"/>
    </row>
    <row r="7">
      <c r="A7" s="2" t="n">
        <v>46205</v>
      </c>
      <c r="B7" s="3" t="inlineStr">
        <is>
          <t>DAESANG</t>
        </is>
      </c>
      <c r="C7" s="3" t="inlineStr">
        <is>
          <t>LA</t>
        </is>
      </c>
      <c r="D7" s="4" t="inlineStr">
        <is>
          <t>961</t>
        </is>
      </c>
      <c r="E7" s="5" t="inlineStr">
        <is>
          <t>0702</t>
        </is>
      </c>
      <c r="F7" s="6" t="inlineStr">
        <is>
          <t>412</t>
        </is>
      </c>
      <c r="G7" s="3" t="inlineStr"/>
      <c r="H7" s="3" t="inlineStr">
        <is>
          <t>2059134</t>
        </is>
      </c>
      <c r="I7" s="6" t="inlineStr">
        <is>
          <t>Jongga Pickled Cucumbers Korean</t>
        </is>
      </c>
      <c r="J7" s="2" t="n">
        <v>46216</v>
      </c>
      <c r="K7" s="2" t="n">
        <v>46216</v>
      </c>
      <c r="L7" s="7" t="n">
        <v>750</v>
      </c>
      <c r="M7" s="8" t="n">
        <v>62.48</v>
      </c>
      <c r="N7" s="9" t="n">
        <v>0.0075</v>
      </c>
      <c r="O7" s="10" t="n">
        <v>0</v>
      </c>
      <c r="P7" s="10" t="n">
        <v>0</v>
      </c>
      <c r="Q7" s="11" t="n">
        <v>46508.55</v>
      </c>
      <c r="R7" s="9" t="n">
        <v>0.05</v>
      </c>
      <c r="S7" s="11">
        <f>Q7*R7</f>
        <v/>
      </c>
      <c r="T7" s="12" t="n">
        <v>46235</v>
      </c>
      <c r="U7" s="3" t="n"/>
      <c r="V7" s="3" t="n"/>
      <c r="W7" s="8" t="n"/>
      <c r="X7" s="13">
        <f>W7-S7</f>
        <v/>
      </c>
      <c r="Y7" s="3" t="inlineStr"/>
    </row>
    <row r="8">
      <c r="A8" s="2" t="n">
        <v>46205</v>
      </c>
      <c r="B8" s="3" t="inlineStr">
        <is>
          <t>DAESANG</t>
        </is>
      </c>
      <c r="C8" s="3" t="inlineStr">
        <is>
          <t>0</t>
        </is>
      </c>
      <c r="D8" s="4" t="inlineStr">
        <is>
          <t>961</t>
        </is>
      </c>
      <c r="E8" s="5" t="inlineStr">
        <is>
          <t>0702</t>
        </is>
      </c>
      <c r="F8" s="6" t="inlineStr">
        <is>
          <t>412</t>
        </is>
      </c>
      <c r="G8" s="3" t="inlineStr"/>
      <c r="H8" s="3" t="inlineStr">
        <is>
          <t>2059134</t>
        </is>
      </c>
      <c r="I8" s="6" t="inlineStr">
        <is>
          <t>Jongga Pickled Cucumbers Korean</t>
        </is>
      </c>
      <c r="J8" s="2" t="n">
        <v>46216</v>
      </c>
      <c r="K8" s="2" t="n">
        <v>46216</v>
      </c>
      <c r="L8" s="7" t="n">
        <v>750</v>
      </c>
      <c r="M8" s="8" t="n">
        <v>61.2</v>
      </c>
      <c r="N8" s="9" t="n">
        <v>0.0075</v>
      </c>
      <c r="O8" s="10" t="n">
        <v>0</v>
      </c>
      <c r="P8" s="10" t="n">
        <v>3672</v>
      </c>
      <c r="Q8" s="11" t="n">
        <v>41883.75</v>
      </c>
      <c r="R8" s="9" t="n">
        <v>0.05</v>
      </c>
      <c r="S8" s="11">
        <f>Q8*R8</f>
        <v/>
      </c>
      <c r="T8" s="12" t="n">
        <v>46235</v>
      </c>
      <c r="U8" s="3" t="n"/>
      <c r="V8" s="3" t="n"/>
      <c r="W8" s="8" t="n"/>
      <c r="X8" s="13">
        <f>W8-S8</f>
        <v/>
      </c>
      <c r="Y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2026-09-22T20:47:48Z</dcterms:created>
  <dcterms:modified xsi:type="dcterms:W3CDTF">2026-09-22T20:47:48Z</dcterms:modified>
</cp:coreProperties>
</file>